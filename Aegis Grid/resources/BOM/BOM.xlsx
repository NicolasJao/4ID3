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j\Documents\Repositories\4ID3\Aegis Grid\resources\BOM\"/>
    </mc:Choice>
  </mc:AlternateContent>
  <xr:revisionPtr revIDLastSave="0" documentId="13_ncr:1_{C0C0AA80-E751-4746-82DE-808F457C5337}" xr6:coauthVersionLast="47" xr6:coauthVersionMax="47" xr10:uidLastSave="{00000000-0000-0000-0000-000000000000}"/>
  <bookViews>
    <workbookView xWindow="38280" yWindow="-120" windowWidth="29040" windowHeight="15720" activeTab="1" xr2:uid="{196CD192-2C0A-48B9-ABAB-C59F140B49E5}"/>
  </bookViews>
  <sheets>
    <sheet name="BOM Proof-of-Concept" sheetId="1" r:id="rId1"/>
    <sheet name="BOM Industrial Comparison" sheetId="3" r:id="rId2"/>
    <sheet name="other tab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<sst xmlns="http://schemas.openxmlformats.org/spreadsheetml/2006/main" count="101" uniqueCount="70">
  <si>
    <t>Qty</t>
  </si>
  <si>
    <t>Description</t>
  </si>
  <si>
    <t>Purchase link</t>
  </si>
  <si>
    <t>Link</t>
  </si>
  <si>
    <t>Red LED</t>
  </si>
  <si>
    <t>breadboard</t>
  </si>
  <si>
    <t>Price</t>
  </si>
  <si>
    <t>Total:</t>
  </si>
  <si>
    <t>Root Cause</t>
  </si>
  <si>
    <t>Early Physical Signal</t>
  </si>
  <si>
    <t>Insulation breakdown</t>
  </si>
  <si>
    <t>partial discharge, gas formation</t>
  </si>
  <si>
    <t>Sensor</t>
  </si>
  <si>
    <t>Mechanical wear</t>
  </si>
  <si>
    <t>vibration, acoustic emissions</t>
  </si>
  <si>
    <t>Electrical instability</t>
  </si>
  <si>
    <t>voltage/current anomalies</t>
  </si>
  <si>
    <t>UHF antennas, capacitive couplers, bushing PD sensors, hydrogen/acetylene/methane sensors</t>
  </si>
  <si>
    <t>Overload / Overheating</t>
  </si>
  <si>
    <t>overcurrent, temperature rise, cooling failure</t>
  </si>
  <si>
    <t>RTDs / thermocouples, ampmeters</t>
  </si>
  <si>
    <t>accelerometers, acoustic emission sensors, vibration sensors</t>
  </si>
  <si>
    <t>voltage/current sensors, power quality analyzers</t>
  </si>
  <si>
    <t>register usage</t>
  </si>
  <si>
    <t>MacIoT board</t>
  </si>
  <si>
    <t>DC motor</t>
  </si>
  <si>
    <t>Piezoelectric ceramic vibration sensor module</t>
  </si>
  <si>
    <t>On Hand</t>
  </si>
  <si>
    <t>passive buzzer</t>
  </si>
  <si>
    <t>EBYTE LoRa module</t>
  </si>
  <si>
    <t>1k resistor</t>
  </si>
  <si>
    <t>a bunch</t>
  </si>
  <si>
    <t>wires</t>
  </si>
  <si>
    <t>9V battery</t>
  </si>
  <si>
    <t>potentiometer</t>
  </si>
  <si>
    <t>220 resistor</t>
  </si>
  <si>
    <t>DHT11 temperature &amp; humidity sensor</t>
  </si>
  <si>
    <t>Purpose</t>
  </si>
  <si>
    <t>Proof-of-Concept Component</t>
  </si>
  <si>
    <t>Industrial Solution Component</t>
  </si>
  <si>
    <t>Field Device</t>
  </si>
  <si>
    <t>Gateway Device</t>
  </si>
  <si>
    <t>LoRa Module</t>
  </si>
  <si>
    <t>None</t>
  </si>
  <si>
    <t>Planet LCG-300</t>
  </si>
  <si>
    <t>Vibration Sensor</t>
  </si>
  <si>
    <t>Daviteq WSLRW-V1A</t>
  </si>
  <si>
    <t>Milesight EM500-PT100</t>
  </si>
  <si>
    <t>Red LEDs Passive Buzzers</t>
  </si>
  <si>
    <t>Alarm</t>
  </si>
  <si>
    <t>Patlite LR5 Signal Tower</t>
  </si>
  <si>
    <t>Application Software</t>
  </si>
  <si>
    <t>Dashboard</t>
  </si>
  <si>
    <t>IBM Maximo Health and Predict Utilities</t>
  </si>
  <si>
    <t>IoT Network Management</t>
  </si>
  <si>
    <t>Node-RED</t>
  </si>
  <si>
    <t>AWS IoT Core for LoRaWAN</t>
  </si>
  <si>
    <t>Voltage/Current Sensors</t>
  </si>
  <si>
    <t>MacIoT board Analog Pins</t>
  </si>
  <si>
    <t>CT/PT Transformer Step-Down to Meters</t>
  </si>
  <si>
    <t>Network Transport</t>
  </si>
  <si>
    <t>MQTT over Wi-Fi</t>
  </si>
  <si>
    <t>MQTT over Ethernet</t>
  </si>
  <si>
    <t>Network Access Protocol</t>
  </si>
  <si>
    <t>LoRa</t>
  </si>
  <si>
    <t>LoRaWAN</t>
  </si>
  <si>
    <t>Power Grid Equipment</t>
  </si>
  <si>
    <t>DC Motor</t>
  </si>
  <si>
    <t>Generators, Transformers, Transmission Lines, etc.</t>
  </si>
  <si>
    <t>Temperature/Humidity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</si>
</sst>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a/Piezoelectric-Vibration-Interactive-Electronic-Detection/dp/B0DB5VWLN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12EA-53DA-4D28-AF32-40BEC296018C}">
  <dimension ref="A1:D15"/>
  <sheetViews>
    <sheetView zoomScale="142" workbookViewId="0">
      <selection activeCell="F8" sqref="F8"/>
    </sheetView>
  </sheetViews>
  <sheetFormatPr defaultRowHeight="14.5" x14ac:dyDescent="0.35"/>
  <cols>
    <col min="1" max="1" width="9.1796875" style="1" customWidth="1"/>
    <col min="2" max="2" width="38.90625" customWidth="1"/>
    <col min="3" max="3" width="18.1796875" customWidth="1"/>
    <col min="4" max="4" width="9.453125" style="4" customWidth="1"/>
  </cols>
  <sheetData>
    <row r="1" spans="1:4" s="1" customFormat="1" x14ac:dyDescent="0.35">
      <c r="A1" s="12" t="s">
        <v>0</v>
      </c>
      <c r="B1" s="12" t="s">
        <v>1</v>
      </c>
      <c r="C1" s="12" t="s">
        <v>2</v>
      </c>
      <c r="D1" s="12" t="s">
        <v>6</v>
      </c>
    </row>
    <row r="2" spans="1:4" x14ac:dyDescent="0.35">
      <c r="A2" s="1">
        <v>2</v>
      </c>
      <c r="B2" s="3" t="s">
        <v>24</v>
      </c>
      <c r="C2" t="s">
        <v>23</v>
      </c>
      <c r="D2" s="5" t="s">
        <v>27</v>
      </c>
    </row>
    <row r="3" spans="1:4" x14ac:dyDescent="0.35">
      <c r="A3" s="1">
        <v>1</v>
      </c>
      <c r="B3" t="s">
        <v>36</v>
      </c>
      <c r="C3" t="s">
        <v>23</v>
      </c>
      <c r="D3" s="5" t="s">
        <v>27</v>
      </c>
    </row>
    <row r="4" spans="1:4" x14ac:dyDescent="0.35">
      <c r="A4" s="1">
        <v>2</v>
      </c>
      <c r="B4" t="s">
        <v>29</v>
      </c>
      <c r="C4" t="s">
        <v>23</v>
      </c>
      <c r="D4" s="5" t="s">
        <v>27</v>
      </c>
    </row>
    <row r="5" spans="1:4" x14ac:dyDescent="0.35">
      <c r="A5" s="1">
        <v>1</v>
      </c>
      <c r="B5" t="s">
        <v>26</v>
      </c>
      <c r="C5" s="2" t="s">
        <v>3</v>
      </c>
      <c r="D5" s="5">
        <v>7</v>
      </c>
    </row>
    <row r="6" spans="1:4" x14ac:dyDescent="0.35">
      <c r="A6" s="1">
        <v>2</v>
      </c>
      <c r="B6" t="s">
        <v>4</v>
      </c>
      <c r="C6" t="s">
        <v>27</v>
      </c>
      <c r="D6" s="5" t="s">
        <v>27</v>
      </c>
    </row>
    <row r="7" spans="1:4" x14ac:dyDescent="0.35">
      <c r="A7" s="1">
        <v>1</v>
      </c>
      <c r="B7" t="s">
        <v>28</v>
      </c>
      <c r="C7" t="s">
        <v>27</v>
      </c>
      <c r="D7" s="6" t="s">
        <v>27</v>
      </c>
    </row>
    <row r="8" spans="1:4" x14ac:dyDescent="0.35">
      <c r="A8" s="1">
        <v>2</v>
      </c>
      <c r="B8" t="s">
        <v>34</v>
      </c>
      <c r="C8" t="s">
        <v>27</v>
      </c>
      <c r="D8" s="6" t="s">
        <v>27</v>
      </c>
    </row>
    <row r="9" spans="1:4" x14ac:dyDescent="0.35">
      <c r="A9" s="1">
        <v>1</v>
      </c>
      <c r="B9" t="s">
        <v>25</v>
      </c>
      <c r="C9" t="s">
        <v>27</v>
      </c>
      <c r="D9" s="6" t="s">
        <v>27</v>
      </c>
    </row>
    <row r="10" spans="1:4" x14ac:dyDescent="0.35">
      <c r="A10" s="1">
        <v>1</v>
      </c>
      <c r="B10" t="s">
        <v>33</v>
      </c>
      <c r="C10" t="s">
        <v>27</v>
      </c>
      <c r="D10" s="6" t="s">
        <v>27</v>
      </c>
    </row>
    <row r="11" spans="1:4" x14ac:dyDescent="0.35">
      <c r="A11" s="1">
        <v>2</v>
      </c>
      <c r="B11" t="s">
        <v>5</v>
      </c>
      <c r="C11" t="s">
        <v>27</v>
      </c>
      <c r="D11" s="6" t="s">
        <v>27</v>
      </c>
    </row>
    <row r="12" spans="1:4" x14ac:dyDescent="0.35">
      <c r="A12" s="1">
        <v>16</v>
      </c>
      <c r="B12" t="s">
        <v>30</v>
      </c>
      <c r="C12" t="s">
        <v>27</v>
      </c>
      <c r="D12" s="6" t="s">
        <v>27</v>
      </c>
    </row>
    <row r="13" spans="1:4" x14ac:dyDescent="0.35">
      <c r="A13" s="1">
        <v>2</v>
      </c>
      <c r="B13" t="s">
        <v>35</v>
      </c>
      <c r="C13" t="s">
        <v>27</v>
      </c>
      <c r="D13" s="6" t="s">
        <v>27</v>
      </c>
    </row>
    <row r="14" spans="1:4" x14ac:dyDescent="0.35">
      <c r="A14" s="1" t="s">
        <v>31</v>
      </c>
      <c r="B14" t="s">
        <v>32</v>
      </c>
      <c r="C14" t="s">
        <v>27</v>
      </c>
      <c r="D14" s="6" t="s">
        <v>27</v>
      </c>
    </row>
    <row r="15" spans="1:4" x14ac:dyDescent="0.35">
      <c r="C15" s="13" t="s">
        <v>7</v>
      </c>
      <c r="D15" s="6">
        <f>SUM(D2:D11)</f>
        <v>7</v>
      </c>
    </row>
  </sheetData>
  <hyperlinks>
    <hyperlink ref="C5" r:id="rId1" xr:uid="{26A2833F-2D19-4DB7-9232-720DA22BAF7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C68B-46D5-43B2-A9A2-38B6B056D0B1}">
  <dimension ref="A1:C20"/>
  <sheetViews>
    <sheetView tabSelected="1" zoomScale="144" workbookViewId="0">
      <selection activeCell="E6" sqref="E6"/>
    </sheetView>
  </sheetViews>
  <sheetFormatPr defaultRowHeight="14.5" x14ac:dyDescent="0.35"/>
  <cols>
    <col min="1" max="1" width="28.1796875" style="1" customWidth="1"/>
    <col min="2" max="2" width="38.90625" style="1" customWidth="1"/>
    <col min="3" max="3" width="40.81640625" style="1" customWidth="1"/>
  </cols>
  <sheetData>
    <row r="1" spans="1:3" x14ac:dyDescent="0.35">
      <c r="A1" s="12" t="s">
        <v>37</v>
      </c>
      <c r="B1" s="12" t="s">
        <v>38</v>
      </c>
      <c r="C1" s="12" t="s">
        <v>39</v>
      </c>
    </row>
    <row r="2" spans="1:3" x14ac:dyDescent="0.35">
      <c r="A2" s="11" t="s">
        <v>40</v>
      </c>
      <c r="B2" s="10" t="s">
        <v>24</v>
      </c>
      <c r="C2" s="1" t="s">
        <v>43</v>
      </c>
    </row>
    <row r="3" spans="1:3" x14ac:dyDescent="0.35">
      <c r="A3" s="11" t="s">
        <v>41</v>
      </c>
      <c r="B3" s="10" t="s">
        <v>24</v>
      </c>
      <c r="C3" s="1" t="s">
        <v>44</v>
      </c>
    </row>
    <row r="4" spans="1:3" x14ac:dyDescent="0.35">
      <c r="A4" s="11" t="s">
        <v>42</v>
      </c>
      <c r="B4" s="10" t="s">
        <v>29</v>
      </c>
      <c r="C4" s="1" t="s">
        <v>43</v>
      </c>
    </row>
    <row r="5" spans="1:3" x14ac:dyDescent="0.35">
      <c r="A5" s="11" t="s">
        <v>69</v>
      </c>
      <c r="B5" s="1" t="s">
        <v>36</v>
      </c>
      <c r="C5" s="1" t="s">
        <v>47</v>
      </c>
    </row>
    <row r="6" spans="1:3" x14ac:dyDescent="0.35">
      <c r="A6" s="11" t="s">
        <v>45</v>
      </c>
      <c r="B6" s="1" t="s">
        <v>26</v>
      </c>
      <c r="C6" s="1" t="s">
        <v>46</v>
      </c>
    </row>
    <row r="7" spans="1:3" x14ac:dyDescent="0.35">
      <c r="A7" s="11" t="s">
        <v>49</v>
      </c>
      <c r="B7" s="1" t="s">
        <v>48</v>
      </c>
      <c r="C7" s="1" t="s">
        <v>50</v>
      </c>
    </row>
    <row r="8" spans="1:3" x14ac:dyDescent="0.35">
      <c r="A8" s="11" t="s">
        <v>51</v>
      </c>
      <c r="B8" s="1" t="s">
        <v>43</v>
      </c>
      <c r="C8" s="1" t="s">
        <v>53</v>
      </c>
    </row>
    <row r="9" spans="1:3" x14ac:dyDescent="0.35">
      <c r="A9" s="11" t="s">
        <v>52</v>
      </c>
      <c r="B9" s="1" t="s">
        <v>55</v>
      </c>
      <c r="C9" s="1" t="s">
        <v>53</v>
      </c>
    </row>
    <row r="10" spans="1:3" x14ac:dyDescent="0.35">
      <c r="A10" s="11" t="s">
        <v>54</v>
      </c>
      <c r="B10" s="1" t="s">
        <v>43</v>
      </c>
      <c r="C10" s="1" t="s">
        <v>56</v>
      </c>
    </row>
    <row r="11" spans="1:3" x14ac:dyDescent="0.35">
      <c r="A11" s="11" t="s">
        <v>57</v>
      </c>
      <c r="B11" s="1" t="s">
        <v>58</v>
      </c>
      <c r="C11" s="1" t="s">
        <v>59</v>
      </c>
    </row>
    <row r="12" spans="1:3" x14ac:dyDescent="0.35">
      <c r="A12" s="11" t="s">
        <v>63</v>
      </c>
      <c r="B12" s="1" t="s">
        <v>64</v>
      </c>
      <c r="C12" s="1" t="s">
        <v>65</v>
      </c>
    </row>
    <row r="13" spans="1:3" x14ac:dyDescent="0.35">
      <c r="A13" s="11" t="s">
        <v>60</v>
      </c>
      <c r="B13" s="1" t="s">
        <v>61</v>
      </c>
      <c r="C13" s="1" t="s">
        <v>62</v>
      </c>
    </row>
    <row r="14" spans="1:3" x14ac:dyDescent="0.35">
      <c r="A14" s="11" t="s">
        <v>66</v>
      </c>
      <c r="B14" s="1" t="s">
        <v>67</v>
      </c>
      <c r="C14" s="1" t="s">
        <v>68</v>
      </c>
    </row>
    <row r="15" spans="1:3" x14ac:dyDescent="0.35">
      <c r="B15"/>
      <c r="C15"/>
    </row>
    <row r="16" spans="1:3" x14ac:dyDescent="0.35">
      <c r="B16"/>
      <c r="C16"/>
    </row>
    <row r="17" spans="2:3" x14ac:dyDescent="0.35">
      <c r="B17"/>
      <c r="C17"/>
    </row>
    <row r="18" spans="2:3" x14ac:dyDescent="0.35">
      <c r="B18"/>
      <c r="C18"/>
    </row>
    <row r="19" spans="2:3" x14ac:dyDescent="0.35">
      <c r="B19"/>
      <c r="C19"/>
    </row>
    <row r="20" spans="2:3" x14ac:dyDescent="0.35">
      <c r="B20"/>
      <c r="C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B20E-E5DD-4260-904B-55E33C9B709B}">
  <dimension ref="A1:C5"/>
  <sheetViews>
    <sheetView zoomScale="121" workbookViewId="0">
      <selection activeCell="B9" sqref="B9"/>
    </sheetView>
  </sheetViews>
  <sheetFormatPr defaultRowHeight="14.5" x14ac:dyDescent="0.35"/>
  <cols>
    <col min="1" max="1" width="28.36328125" customWidth="1"/>
    <col min="2" max="2" width="38.90625" style="9" customWidth="1"/>
    <col min="3" max="3" width="61.26953125" style="9" customWidth="1"/>
    <col min="4" max="4" width="9.453125" customWidth="1"/>
  </cols>
  <sheetData>
    <row r="1" spans="1:3" x14ac:dyDescent="0.35">
      <c r="A1" s="7" t="s">
        <v>8</v>
      </c>
      <c r="B1" s="8" t="s">
        <v>9</v>
      </c>
      <c r="C1" s="8" t="s">
        <v>12</v>
      </c>
    </row>
    <row r="2" spans="1:3" ht="43.5" x14ac:dyDescent="0.35">
      <c r="A2" t="s">
        <v>10</v>
      </c>
      <c r="B2" s="9" t="s">
        <v>11</v>
      </c>
      <c r="C2" s="9" t="s">
        <v>17</v>
      </c>
    </row>
    <row r="3" spans="1:3" ht="29" x14ac:dyDescent="0.35">
      <c r="A3" t="s">
        <v>18</v>
      </c>
      <c r="B3" s="9" t="s">
        <v>19</v>
      </c>
      <c r="C3" s="9" t="s">
        <v>20</v>
      </c>
    </row>
    <row r="4" spans="1:3" ht="29" x14ac:dyDescent="0.35">
      <c r="A4" t="s">
        <v>13</v>
      </c>
      <c r="B4" s="9" t="s">
        <v>14</v>
      </c>
      <c r="C4" s="9" t="s">
        <v>21</v>
      </c>
    </row>
    <row r="5" spans="1:3" ht="29" x14ac:dyDescent="0.35">
      <c r="A5" t="s">
        <v>15</v>
      </c>
      <c r="B5" s="9" t="s">
        <v>16</v>
      </c>
      <c r="C5" s="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Proof-of-Concept</vt:lpstr>
      <vt:lpstr>BOM Industrial Comparison</vt:lpstr>
      <vt:lpstr>other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Martin Jao</dc:creator>
  <cp:lastModifiedBy>Nicolas Martin Jao</cp:lastModifiedBy>
  <dcterms:created xsi:type="dcterms:W3CDTF">2026-01-30T03:39:19Z</dcterms:created>
  <dcterms:modified xsi:type="dcterms:W3CDTF">2026-03-26T22:38:47Z</dcterms:modified>
</cp:coreProperties>
</file>